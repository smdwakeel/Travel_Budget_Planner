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LCOT\Downloads\EXCEL\"/>
    </mc:Choice>
  </mc:AlternateContent>
  <xr:revisionPtr revIDLastSave="0" documentId="8_{808F4081-CBC0-4DF6-B389-D43E120EB649}" xr6:coauthVersionLast="47" xr6:coauthVersionMax="47" xr10:uidLastSave="{00000000-0000-0000-0000-000000000000}"/>
  <bookViews>
    <workbookView xWindow="-120" yWindow="-120" windowWidth="20730" windowHeight="11040" activeTab="1" xr2:uid="{C9F17899-976D-44EC-AEB6-47FBAB66570D}"/>
  </bookViews>
  <sheets>
    <sheet name=" DASHBOARD" sheetId="2" r:id="rId1"/>
    <sheet name="TRAVEL BUDGET PLANNER" sheetId="1" r:id="rId2"/>
    <sheet name="Sheet3" sheetId="4" r:id="rId3"/>
  </sheet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/>
  <c r="K3" i="1"/>
  <c r="K4" i="1"/>
  <c r="L4" i="1" s="1"/>
  <c r="K5" i="1"/>
  <c r="L5" i="1" s="1"/>
  <c r="K6" i="1"/>
  <c r="L6" i="1" s="1"/>
  <c r="K7" i="1"/>
  <c r="L7" i="1"/>
  <c r="K8" i="1"/>
  <c r="L8" i="1" s="1"/>
  <c r="L3" i="1" l="1"/>
  <c r="B4" i="2" s="1"/>
</calcChain>
</file>

<file path=xl/sharedStrings.xml><?xml version="1.0" encoding="utf-8"?>
<sst xmlns="http://schemas.openxmlformats.org/spreadsheetml/2006/main" count="56" uniqueCount="40">
  <si>
    <t>DESTINATION</t>
  </si>
  <si>
    <t>HOTEL NAME</t>
  </si>
  <si>
    <t>DEPARTURE DATE</t>
  </si>
  <si>
    <t>RETURN DATE</t>
  </si>
  <si>
    <t>MY BUDGET</t>
  </si>
  <si>
    <t>TRAIN COST</t>
  </si>
  <si>
    <t>HOTEL COST</t>
  </si>
  <si>
    <t>FOOD COST</t>
  </si>
  <si>
    <t>PURCHES</t>
  </si>
  <si>
    <t>TRAIN RETURN COST</t>
  </si>
  <si>
    <t>TOTAL BUDGET</t>
  </si>
  <si>
    <t>SAVING</t>
  </si>
  <si>
    <t>Ooty</t>
  </si>
  <si>
    <t>Gem Park Ooty</t>
  </si>
  <si>
    <t>Kodaikanal</t>
  </si>
  <si>
    <t>Sterling kodai Lake</t>
  </si>
  <si>
    <t>Madurai</t>
  </si>
  <si>
    <t>JC Residency</t>
  </si>
  <si>
    <t>Rameswaram</t>
  </si>
  <si>
    <t>Hotel Ashoka</t>
  </si>
  <si>
    <t>Kanyakumari</t>
  </si>
  <si>
    <t>Hotel Sea View</t>
  </si>
  <si>
    <t>Mahabalipuram</t>
  </si>
  <si>
    <t>Ideal Beach Resort</t>
  </si>
  <si>
    <t>✈️ TRAVEL BUDGET PLANNER</t>
  </si>
  <si>
    <t>TRAVEL BUDGET DASHBOARD</t>
  </si>
  <si>
    <t>Totel Saving</t>
  </si>
  <si>
    <t xml:space="preserve">Totel Budget       </t>
  </si>
  <si>
    <t>Row Labels</t>
  </si>
  <si>
    <t>Grand Total</t>
  </si>
  <si>
    <t>2025</t>
  </si>
  <si>
    <t>2026</t>
  </si>
  <si>
    <t>Sum of MY BUDGET</t>
  </si>
  <si>
    <t>Sum of TRAIN COST</t>
  </si>
  <si>
    <t>Sum of HOTEL COST</t>
  </si>
  <si>
    <t>Sum of FOOD COST</t>
  </si>
  <si>
    <t>Sum of SAVING</t>
  </si>
  <si>
    <t>Sum of PURCHES</t>
  </si>
  <si>
    <t>Sum of TRAIN RETURN COST</t>
  </si>
  <si>
    <t>Sum of TOTAL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</si>
</sst>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2"/>
      <color theme="6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11"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BUDGET BY DESTINATION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'TRAVEL BUDGET PLANNER'!$K$2</c:f>
              <c:strCache>
                <c:ptCount val="1"/>
                <c:pt idx="0">
                  <c:v>TOTAL BUDGET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'TRAVEL BUDGET PLANNER'!$A$3:$A$8</c:f>
              <c:strCache>
                <c:ptCount val="6"/>
                <c:pt idx="0">
                  <c:v>Ooty</c:v>
                </c:pt>
                <c:pt idx="1">
                  <c:v>Kodaikanal</c:v>
                </c:pt>
                <c:pt idx="2">
                  <c:v>Madurai</c:v>
                </c:pt>
                <c:pt idx="3">
                  <c:v>Rameswaram</c:v>
                </c:pt>
                <c:pt idx="4">
                  <c:v>Kanyakumari</c:v>
                </c:pt>
                <c:pt idx="5">
                  <c:v>Mahabalipuram</c:v>
                </c:pt>
              </c:strCache>
            </c:strRef>
          </c:cat>
          <c:val>
            <c:numRef>
              <c:f>'TRAVEL BUDGET PLANNER'!$K$3:$K$8</c:f>
              <c:numCache>
                <c:formatCode>"₹"\ #,##0.00</c:formatCode>
                <c:ptCount val="6"/>
                <c:pt idx="0">
                  <c:v>26200</c:v>
                </c:pt>
                <c:pt idx="1">
                  <c:v>20800</c:v>
                </c:pt>
                <c:pt idx="2">
                  <c:v>12600</c:v>
                </c:pt>
                <c:pt idx="3">
                  <c:v>9500</c:v>
                </c:pt>
                <c:pt idx="4">
                  <c:v>19300</c:v>
                </c:pt>
                <c:pt idx="5">
                  <c:v>14050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1-4FF2-B1E0-4CA757C291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2102708624"/>
        <c:axId val="2102718224"/>
      </c:barChart>
      <c:catAx>
        <c:axId val="210270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718224"/>
        <c:crosses val="autoZero"/>
        <c:auto val="1"/>
        <c:lblAlgn val="ctr"/>
        <c:lblOffset val="100"/>
        <c:noMultiLvlLbl val="0"/>
      </c:catAx>
      <c:valAx>
        <c:axId val="2102718224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70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SAVING BY DESTINATION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C6-4D4C-A853-D3984ECBCB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CAC6-4D4C-A853-D3984ECBCBBE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AC6-4D4C-A853-D3984ECBCB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CAC6-4D4C-A853-D3984ECBCB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[Travel_Budget_Planner.xlsx]Sheet3!PivotTable3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Sum of MY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Sheet3!$A$2:$A$20</c:f>
              <c:multiLvlStrCache>
                <c:ptCount val="6"/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2025</c:v>
                  </c:pt>
                  <c:pt idx="5">
                    <c:v>2025</c:v>
                  </c:pt>
                </c:lvl>
                <c:lvl>
                  <c:pt idx="0">
                    <c:v>Hotel Sea View</c:v>
                  </c:pt>
                  <c:pt idx="1">
                    <c:v>Sterling kodai Lake</c:v>
                  </c:pt>
                  <c:pt idx="2">
                    <c:v>JC Residency</c:v>
                  </c:pt>
                  <c:pt idx="3">
                    <c:v>Ideal Beach Resort</c:v>
                  </c:pt>
                  <c:pt idx="4">
                    <c:v>Gem Park Ooty</c:v>
                  </c:pt>
                  <c:pt idx="5">
                    <c:v>Hotel Ashoka</c:v>
                  </c:pt>
                </c:lvl>
                <c:lvl>
                  <c:pt idx="0">
                    <c:v>Kanyakumari</c:v>
                  </c:pt>
                  <c:pt idx="1">
                    <c:v>Kodaikanal</c:v>
                  </c:pt>
                  <c:pt idx="2">
                    <c:v>Madurai</c:v>
                  </c:pt>
                  <c:pt idx="3">
                    <c:v>Mahabalipuram</c:v>
                  </c:pt>
                  <c:pt idx="4">
                    <c:v>Ooty</c:v>
                  </c:pt>
                  <c:pt idx="5">
                    <c:v>Rameswaram</c:v>
                  </c:pt>
                </c:lvl>
              </c:multiLvlStrCache>
            </c:multiLvlStrRef>
          </c:cat>
          <c:val>
            <c:numRef>
              <c:f>Sheet3!$B$2:$B$20</c:f>
              <c:numCache>
                <c:formatCode>"₹"\ #,##0.00</c:formatCode>
                <c:ptCount val="6"/>
                <c:pt idx="0">
                  <c:v>20000</c:v>
                </c:pt>
                <c:pt idx="1">
                  <c:v>25000</c:v>
                </c:pt>
                <c:pt idx="2">
                  <c:v>15000</c:v>
                </c:pt>
                <c:pt idx="3">
                  <c:v>15000</c:v>
                </c:pt>
                <c:pt idx="4">
                  <c:v>35000</c:v>
                </c:pt>
                <c:pt idx="5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5-4F1C-8C8B-1B99F8161A64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Sum of TRAIN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Sheet3!$A$2:$A$20</c:f>
              <c:multiLvlStrCache>
                <c:ptCount val="6"/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2025</c:v>
                  </c:pt>
                  <c:pt idx="5">
                    <c:v>2025</c:v>
                  </c:pt>
                </c:lvl>
                <c:lvl>
                  <c:pt idx="0">
                    <c:v>Hotel Sea View</c:v>
                  </c:pt>
                  <c:pt idx="1">
                    <c:v>Sterling kodai Lake</c:v>
                  </c:pt>
                  <c:pt idx="2">
                    <c:v>JC Residency</c:v>
                  </c:pt>
                  <c:pt idx="3">
                    <c:v>Ideal Beach Resort</c:v>
                  </c:pt>
                  <c:pt idx="4">
                    <c:v>Gem Park Ooty</c:v>
                  </c:pt>
                  <c:pt idx="5">
                    <c:v>Hotel Ashoka</c:v>
                  </c:pt>
                </c:lvl>
                <c:lvl>
                  <c:pt idx="0">
                    <c:v>Kanyakumari</c:v>
                  </c:pt>
                  <c:pt idx="1">
                    <c:v>Kodaikanal</c:v>
                  </c:pt>
                  <c:pt idx="2">
                    <c:v>Madurai</c:v>
                  </c:pt>
                  <c:pt idx="3">
                    <c:v>Mahabalipuram</c:v>
                  </c:pt>
                  <c:pt idx="4">
                    <c:v>Ooty</c:v>
                  </c:pt>
                  <c:pt idx="5">
                    <c:v>Rameswaram</c:v>
                  </c:pt>
                </c:lvl>
              </c:multiLvlStrCache>
            </c:multiLvlStrRef>
          </c:cat>
          <c:val>
            <c:numRef>
              <c:f>Sheet3!$C$2:$C$20</c:f>
              <c:numCache>
                <c:formatCode>"₹"\ #,##0.00</c:formatCode>
                <c:ptCount val="6"/>
                <c:pt idx="0">
                  <c:v>400</c:v>
                </c:pt>
                <c:pt idx="1">
                  <c:v>400</c:v>
                </c:pt>
                <c:pt idx="2">
                  <c:v>300</c:v>
                </c:pt>
                <c:pt idx="3">
                  <c:v>300</c:v>
                </c:pt>
                <c:pt idx="4">
                  <c:v>600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85-4F1C-8C8B-1B99F8161A64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Sum of HOTEL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Sheet3!$A$2:$A$20</c:f>
              <c:multiLvlStrCache>
                <c:ptCount val="6"/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2025</c:v>
                  </c:pt>
                  <c:pt idx="5">
                    <c:v>2025</c:v>
                  </c:pt>
                </c:lvl>
                <c:lvl>
                  <c:pt idx="0">
                    <c:v>Hotel Sea View</c:v>
                  </c:pt>
                  <c:pt idx="1">
                    <c:v>Sterling kodai Lake</c:v>
                  </c:pt>
                  <c:pt idx="2">
                    <c:v>JC Residency</c:v>
                  </c:pt>
                  <c:pt idx="3">
                    <c:v>Ideal Beach Resort</c:v>
                  </c:pt>
                  <c:pt idx="4">
                    <c:v>Gem Park Ooty</c:v>
                  </c:pt>
                  <c:pt idx="5">
                    <c:v>Hotel Ashoka</c:v>
                  </c:pt>
                </c:lvl>
                <c:lvl>
                  <c:pt idx="0">
                    <c:v>Kanyakumari</c:v>
                  </c:pt>
                  <c:pt idx="1">
                    <c:v>Kodaikanal</c:v>
                  </c:pt>
                  <c:pt idx="2">
                    <c:v>Madurai</c:v>
                  </c:pt>
                  <c:pt idx="3">
                    <c:v>Mahabalipuram</c:v>
                  </c:pt>
                  <c:pt idx="4">
                    <c:v>Ooty</c:v>
                  </c:pt>
                  <c:pt idx="5">
                    <c:v>Rameswaram</c:v>
                  </c:pt>
                </c:lvl>
              </c:multiLvlStrCache>
            </c:multiLvlStrRef>
          </c:cat>
          <c:val>
            <c:numRef>
              <c:f>Sheet3!$D$2:$D$20</c:f>
              <c:numCache>
                <c:formatCode>"₹"\ #,##0.00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5000</c:v>
                </c:pt>
                <c:pt idx="3">
                  <c:v>7000</c:v>
                </c:pt>
                <c:pt idx="4">
                  <c:v>10000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85-4F1C-8C8B-1B99F8161A64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Sum of FOOD COST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Sheet3!$A$2:$A$20</c:f>
              <c:multiLvlStrCache>
                <c:ptCount val="6"/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2025</c:v>
                  </c:pt>
                  <c:pt idx="5">
                    <c:v>2025</c:v>
                  </c:pt>
                </c:lvl>
                <c:lvl>
                  <c:pt idx="0">
                    <c:v>Hotel Sea View</c:v>
                  </c:pt>
                  <c:pt idx="1">
                    <c:v>Sterling kodai Lake</c:v>
                  </c:pt>
                  <c:pt idx="2">
                    <c:v>JC Residency</c:v>
                  </c:pt>
                  <c:pt idx="3">
                    <c:v>Ideal Beach Resort</c:v>
                  </c:pt>
                  <c:pt idx="4">
                    <c:v>Gem Park Ooty</c:v>
                  </c:pt>
                  <c:pt idx="5">
                    <c:v>Hotel Ashoka</c:v>
                  </c:pt>
                </c:lvl>
                <c:lvl>
                  <c:pt idx="0">
                    <c:v>Kanyakumari</c:v>
                  </c:pt>
                  <c:pt idx="1">
                    <c:v>Kodaikanal</c:v>
                  </c:pt>
                  <c:pt idx="2">
                    <c:v>Madurai</c:v>
                  </c:pt>
                  <c:pt idx="3">
                    <c:v>Mahabalipuram</c:v>
                  </c:pt>
                  <c:pt idx="4">
                    <c:v>Ooty</c:v>
                  </c:pt>
                  <c:pt idx="5">
                    <c:v>Rameswaram</c:v>
                  </c:pt>
                </c:lvl>
              </c:multiLvlStrCache>
            </c:multiLvlStrRef>
          </c:cat>
          <c:val>
            <c:numRef>
              <c:f>Sheet3!$E$2:$E$20</c:f>
              <c:numCache>
                <c:formatCode>"₹"\ #,##0.00</c:formatCode>
                <c:ptCount val="6"/>
                <c:pt idx="0">
                  <c:v>6000</c:v>
                </c:pt>
                <c:pt idx="1">
                  <c:v>4000</c:v>
                </c:pt>
                <c:pt idx="2">
                  <c:v>3000</c:v>
                </c:pt>
                <c:pt idx="3">
                  <c:v>2800</c:v>
                </c:pt>
                <c:pt idx="4">
                  <c:v>7000</c:v>
                </c:pt>
                <c:pt idx="5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85-4F1C-8C8B-1B99F8161A64}"/>
            </c:ext>
          </c:extLst>
        </c:ser>
        <c:ser>
          <c:idx val="4"/>
          <c:order val="4"/>
          <c:tx>
            <c:strRef>
              <c:f>Sheet3!$F$1</c:f>
              <c:strCache>
                <c:ptCount val="1"/>
                <c:pt idx="0">
                  <c:v>Sum of SAVING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Sheet3!$A$2:$A$20</c:f>
              <c:multiLvlStrCache>
                <c:ptCount val="6"/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2025</c:v>
                  </c:pt>
                  <c:pt idx="5">
                    <c:v>2025</c:v>
                  </c:pt>
                </c:lvl>
                <c:lvl>
                  <c:pt idx="0">
                    <c:v>Hotel Sea View</c:v>
                  </c:pt>
                  <c:pt idx="1">
                    <c:v>Sterling kodai Lake</c:v>
                  </c:pt>
                  <c:pt idx="2">
                    <c:v>JC Residency</c:v>
                  </c:pt>
                  <c:pt idx="3">
                    <c:v>Ideal Beach Resort</c:v>
                  </c:pt>
                  <c:pt idx="4">
                    <c:v>Gem Park Ooty</c:v>
                  </c:pt>
                  <c:pt idx="5">
                    <c:v>Hotel Ashoka</c:v>
                  </c:pt>
                </c:lvl>
                <c:lvl>
                  <c:pt idx="0">
                    <c:v>Kanyakumari</c:v>
                  </c:pt>
                  <c:pt idx="1">
                    <c:v>Kodaikanal</c:v>
                  </c:pt>
                  <c:pt idx="2">
                    <c:v>Madurai</c:v>
                  </c:pt>
                  <c:pt idx="3">
                    <c:v>Mahabalipuram</c:v>
                  </c:pt>
                  <c:pt idx="4">
                    <c:v>Ooty</c:v>
                  </c:pt>
                  <c:pt idx="5">
                    <c:v>Rameswaram</c:v>
                  </c:pt>
                </c:lvl>
              </c:multiLvlStrCache>
            </c:multiLvlStrRef>
          </c:cat>
          <c:val>
            <c:numRef>
              <c:f>Sheet3!$F$2:$F$20</c:f>
              <c:numCache>
                <c:formatCode>"₹"\ #,##0.00</c:formatCode>
                <c:ptCount val="6"/>
                <c:pt idx="0">
                  <c:v>700</c:v>
                </c:pt>
                <c:pt idx="1">
                  <c:v>4200</c:v>
                </c:pt>
                <c:pt idx="2">
                  <c:v>2400</c:v>
                </c:pt>
                <c:pt idx="3">
                  <c:v>950</c:v>
                </c:pt>
                <c:pt idx="4">
                  <c:v>8800</c:v>
                </c:pt>
                <c:pt idx="5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85-4F1C-8C8B-1B99F8161A64}"/>
            </c:ext>
          </c:extLst>
        </c:ser>
        <c:ser>
          <c:idx val="5"/>
          <c:order val="5"/>
          <c:tx>
            <c:strRef>
              <c:f>Sheet3!$G$1</c:f>
              <c:strCache>
                <c:ptCount val="1"/>
                <c:pt idx="0">
                  <c:v>Sum of PURCHES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Sheet3!$A$2:$A$20</c:f>
              <c:multiLvlStrCache>
                <c:ptCount val="6"/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2025</c:v>
                  </c:pt>
                  <c:pt idx="5">
                    <c:v>2025</c:v>
                  </c:pt>
                </c:lvl>
                <c:lvl>
                  <c:pt idx="0">
                    <c:v>Hotel Sea View</c:v>
                  </c:pt>
                  <c:pt idx="1">
                    <c:v>Sterling kodai Lake</c:v>
                  </c:pt>
                  <c:pt idx="2">
                    <c:v>JC Residency</c:v>
                  </c:pt>
                  <c:pt idx="3">
                    <c:v>Ideal Beach Resort</c:v>
                  </c:pt>
                  <c:pt idx="4">
                    <c:v>Gem Park Ooty</c:v>
                  </c:pt>
                  <c:pt idx="5">
                    <c:v>Hotel Ashoka</c:v>
                  </c:pt>
                </c:lvl>
                <c:lvl>
                  <c:pt idx="0">
                    <c:v>Kanyakumari</c:v>
                  </c:pt>
                  <c:pt idx="1">
                    <c:v>Kodaikanal</c:v>
                  </c:pt>
                  <c:pt idx="2">
                    <c:v>Madurai</c:v>
                  </c:pt>
                  <c:pt idx="3">
                    <c:v>Mahabalipuram</c:v>
                  </c:pt>
                  <c:pt idx="4">
                    <c:v>Ooty</c:v>
                  </c:pt>
                  <c:pt idx="5">
                    <c:v>Rameswaram</c:v>
                  </c:pt>
                </c:lvl>
              </c:multiLvlStrCache>
            </c:multiLvlStrRef>
          </c:cat>
          <c:val>
            <c:numRef>
              <c:f>Sheet3!$G$2:$G$20</c:f>
              <c:numCache>
                <c:formatCode>"₹"\ #,##0.00</c:formatCode>
                <c:ptCount val="6"/>
                <c:pt idx="0">
                  <c:v>2500</c:v>
                </c:pt>
                <c:pt idx="1">
                  <c:v>6000</c:v>
                </c:pt>
                <c:pt idx="2">
                  <c:v>4000</c:v>
                </c:pt>
                <c:pt idx="3">
                  <c:v>3650</c:v>
                </c:pt>
                <c:pt idx="4">
                  <c:v>8000</c:v>
                </c:pt>
                <c:pt idx="5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85-4F1C-8C8B-1B99F8161A64}"/>
            </c:ext>
          </c:extLst>
        </c:ser>
        <c:ser>
          <c:idx val="6"/>
          <c:order val="6"/>
          <c:tx>
            <c:strRef>
              <c:f>Sheet3!$H$1</c:f>
              <c:strCache>
                <c:ptCount val="1"/>
                <c:pt idx="0">
                  <c:v>Sum of TRAIN RETURN COST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Sheet3!$A$2:$A$20</c:f>
              <c:multiLvlStrCache>
                <c:ptCount val="6"/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2025</c:v>
                  </c:pt>
                  <c:pt idx="5">
                    <c:v>2025</c:v>
                  </c:pt>
                </c:lvl>
                <c:lvl>
                  <c:pt idx="0">
                    <c:v>Hotel Sea View</c:v>
                  </c:pt>
                  <c:pt idx="1">
                    <c:v>Sterling kodai Lake</c:v>
                  </c:pt>
                  <c:pt idx="2">
                    <c:v>JC Residency</c:v>
                  </c:pt>
                  <c:pt idx="3">
                    <c:v>Ideal Beach Resort</c:v>
                  </c:pt>
                  <c:pt idx="4">
                    <c:v>Gem Park Ooty</c:v>
                  </c:pt>
                  <c:pt idx="5">
                    <c:v>Hotel Ashoka</c:v>
                  </c:pt>
                </c:lvl>
                <c:lvl>
                  <c:pt idx="0">
                    <c:v>Kanyakumari</c:v>
                  </c:pt>
                  <c:pt idx="1">
                    <c:v>Kodaikanal</c:v>
                  </c:pt>
                  <c:pt idx="2">
                    <c:v>Madurai</c:v>
                  </c:pt>
                  <c:pt idx="3">
                    <c:v>Mahabalipuram</c:v>
                  </c:pt>
                  <c:pt idx="4">
                    <c:v>Ooty</c:v>
                  </c:pt>
                  <c:pt idx="5">
                    <c:v>Rameswaram</c:v>
                  </c:pt>
                </c:lvl>
              </c:multiLvlStrCache>
            </c:multiLvlStrRef>
          </c:cat>
          <c:val>
            <c:numRef>
              <c:f>Sheet3!$H$2:$H$20</c:f>
              <c:numCache>
                <c:formatCode>"₹"\ #,##0.00</c:formatCode>
                <c:ptCount val="6"/>
                <c:pt idx="0">
                  <c:v>400</c:v>
                </c:pt>
                <c:pt idx="1">
                  <c:v>400</c:v>
                </c:pt>
                <c:pt idx="2">
                  <c:v>300</c:v>
                </c:pt>
                <c:pt idx="3">
                  <c:v>300</c:v>
                </c:pt>
                <c:pt idx="4">
                  <c:v>600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85-4F1C-8C8B-1B99F8161A64}"/>
            </c:ext>
          </c:extLst>
        </c:ser>
        <c:ser>
          <c:idx val="7"/>
          <c:order val="7"/>
          <c:tx>
            <c:strRef>
              <c:f>Sheet3!$I$1</c:f>
              <c:strCache>
                <c:ptCount val="1"/>
                <c:pt idx="0">
                  <c:v>Sum of TOTAL BUDGET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Sheet3!$A$2:$A$20</c:f>
              <c:multiLvlStrCache>
                <c:ptCount val="6"/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2025</c:v>
                  </c:pt>
                  <c:pt idx="5">
                    <c:v>2025</c:v>
                  </c:pt>
                </c:lvl>
                <c:lvl>
                  <c:pt idx="0">
                    <c:v>Hotel Sea View</c:v>
                  </c:pt>
                  <c:pt idx="1">
                    <c:v>Sterling kodai Lake</c:v>
                  </c:pt>
                  <c:pt idx="2">
                    <c:v>JC Residency</c:v>
                  </c:pt>
                  <c:pt idx="3">
                    <c:v>Ideal Beach Resort</c:v>
                  </c:pt>
                  <c:pt idx="4">
                    <c:v>Gem Park Ooty</c:v>
                  </c:pt>
                  <c:pt idx="5">
                    <c:v>Hotel Ashoka</c:v>
                  </c:pt>
                </c:lvl>
                <c:lvl>
                  <c:pt idx="0">
                    <c:v>Kanyakumari</c:v>
                  </c:pt>
                  <c:pt idx="1">
                    <c:v>Kodaikanal</c:v>
                  </c:pt>
                  <c:pt idx="2">
                    <c:v>Madurai</c:v>
                  </c:pt>
                  <c:pt idx="3">
                    <c:v>Mahabalipuram</c:v>
                  </c:pt>
                  <c:pt idx="4">
                    <c:v>Ooty</c:v>
                  </c:pt>
                  <c:pt idx="5">
                    <c:v>Rameswaram</c:v>
                  </c:pt>
                </c:lvl>
              </c:multiLvlStrCache>
            </c:multiLvlStrRef>
          </c:cat>
          <c:val>
            <c:numRef>
              <c:f>Sheet3!$I$2:$I$20</c:f>
              <c:numCache>
                <c:formatCode>"₹"\ #,##0.00</c:formatCode>
                <c:ptCount val="6"/>
                <c:pt idx="0">
                  <c:v>19300</c:v>
                </c:pt>
                <c:pt idx="1">
                  <c:v>20800</c:v>
                </c:pt>
                <c:pt idx="2">
                  <c:v>12600</c:v>
                </c:pt>
                <c:pt idx="3">
                  <c:v>14050</c:v>
                </c:pt>
                <c:pt idx="4">
                  <c:v>26200</c:v>
                </c:pt>
                <c:pt idx="5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85-4F1C-8C8B-1B99F8161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887840"/>
        <c:axId val="596888320"/>
      </c:barChart>
      <c:catAx>
        <c:axId val="59688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888320"/>
        <c:crosses val="autoZero"/>
        <c:auto val="1"/>
        <c:lblAlgn val="ctr"/>
        <c:lblOffset val="100"/>
        <c:noMultiLvlLbl val="0"/>
      </c:catAx>
      <c:valAx>
        <c:axId val="5968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88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0</xdr:row>
      <xdr:rowOff>76200</xdr:rowOff>
    </xdr:from>
    <xdr:to>
      <xdr:col>10</xdr:col>
      <xdr:colOff>66675</xdr:colOff>
      <xdr:row>14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BDFB65-EDD1-4862-992D-D5EA6DAD1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190500</xdr:colOff>
      <xdr:row>15</xdr:row>
      <xdr:rowOff>104775</xdr:rowOff>
    </xdr:from>
    <xdr:to>
      <xdr:col>9</xdr:col>
      <xdr:colOff>495300</xdr:colOff>
      <xdr:row>29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1CC316-42C9-4FA2-BF58-1862450AF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4</xdr:row>
      <xdr:rowOff>104775</xdr:rowOff>
    </xdr:from>
    <xdr:to>
      <xdr:col>8</xdr:col>
      <xdr:colOff>47625</xdr:colOff>
      <xdr:row>18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537572-C96B-8A90-6E79-3AB5940A0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183.545477199077" createdVersion="8" refreshedVersion="8" minRefreshableVersion="3" recordCount="6" xr:uid="{5CBB7D6D-FF47-4276-BB45-081FC375A3FD}">
  <cacheSource type="worksheet">
    <worksheetSource name="Table1"/>
  </cacheSource>
  <cacheFields count="18">
    <cacheField name="DESTINATION" numFmtId="0">
      <sharedItems count="6">
        <s v="Ooty"/>
        <s v="Kodaikanal"/>
        <s v="Madurai"/>
        <s v="Rameswaram"/>
        <s v="Kanyakumari"/>
        <s v="Mahabalipuram"/>
      </sharedItems>
    </cacheField>
    <cacheField name="HOTEL NAME" numFmtId="0">
      <sharedItems count="6">
        <s v="Gem Park Ooty"/>
        <s v="Sterling kodai Lake"/>
        <s v="JC Residency"/>
        <s v="Hotel Ashoka"/>
        <s v="Hotel Sea View"/>
        <s v="Ideal Beach Resort"/>
      </sharedItems>
    </cacheField>
    <cacheField name="DEPARTURE DATE" numFmtId="14">
      <sharedItems containsSemiMixedTypes="0" containsNonDate="0" containsDate="1" containsString="0" minDate="2025-01-01T00:00:00" maxDate="2026-04-19T00:00:00" count="6">
        <d v="2025-01-01T00:00:00"/>
        <d v="2025-02-17T00:00:00"/>
        <d v="2025-04-05T00:00:00"/>
        <d v="2025-06-15T00:00:00"/>
        <d v="2025-10-10T00:00:00"/>
        <d v="2026-04-18T00:00:00"/>
      </sharedItems>
      <fieldGroup par="14"/>
    </cacheField>
    <cacheField name="RETURN DATE" numFmtId="14">
      <sharedItems containsSemiMixedTypes="0" containsNonDate="0" containsDate="1" containsString="0" minDate="2025-01-10T00:00:00" maxDate="2026-04-23T00:00:00" count="6">
        <d v="2025-01-10T00:00:00"/>
        <d v="2025-02-25T00:00:00"/>
        <d v="2025-04-10T00:00:00"/>
        <d v="2025-06-20T00:00:00"/>
        <d v="2025-10-20T00:00:00"/>
        <d v="2026-04-22T00:00:00"/>
      </sharedItems>
      <fieldGroup par="17"/>
    </cacheField>
    <cacheField name="MY BUDGET" numFmtId="164">
      <sharedItems containsSemiMixedTypes="0" containsString="0" containsNumber="1" containsInteger="1" minValue="13000" maxValue="35000"/>
    </cacheField>
    <cacheField name="TRAIN COST" numFmtId="164">
      <sharedItems containsSemiMixedTypes="0" containsString="0" containsNumber="1" containsInteger="1" minValue="250" maxValue="600"/>
    </cacheField>
    <cacheField name="HOTEL COST" numFmtId="164">
      <sharedItems containsSemiMixedTypes="0" containsString="0" containsNumber="1" containsInteger="1" minValue="4000" maxValue="10000"/>
    </cacheField>
    <cacheField name="FOOD COST" numFmtId="164">
      <sharedItems containsSemiMixedTypes="0" containsString="0" containsNumber="1" containsInteger="1" minValue="2000" maxValue="7000"/>
    </cacheField>
    <cacheField name="PURCHES" numFmtId="164">
      <sharedItems containsSemiMixedTypes="0" containsString="0" containsNumber="1" containsInteger="1" minValue="2500" maxValue="8000"/>
    </cacheField>
    <cacheField name="TRAIN RETURN COST" numFmtId="164">
      <sharedItems containsSemiMixedTypes="0" containsString="0" containsNumber="1" containsInteger="1" minValue="250" maxValue="600"/>
    </cacheField>
    <cacheField name="TOTAL BUDGET" numFmtId="164">
      <sharedItems containsSemiMixedTypes="0" containsString="0" containsNumber="1" containsInteger="1" minValue="9500" maxValue="26200"/>
    </cacheField>
    <cacheField name="SAVING" numFmtId="164">
      <sharedItems containsSemiMixedTypes="0" containsString="0" containsNumber="1" containsInteger="1" minValue="700" maxValue="8800"/>
    </cacheField>
    <cacheField name="Months (DEPARTURE DATE)" numFmtId="0" databaseField="0">
      <fieldGroup base="2">
        <rangePr groupBy="months" startDate="2025-01-01T00:00:00" endDate="2026-04-19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04-2026"/>
        </groupItems>
      </fieldGroup>
    </cacheField>
    <cacheField name="Quarters (DEPARTURE DATE)" numFmtId="0" databaseField="0">
      <fieldGroup base="2">
        <rangePr groupBy="quarters" startDate="2025-01-01T00:00:00" endDate="2026-04-19T00:00:00"/>
        <groupItems count="6">
          <s v="&lt;01-01-2025"/>
          <s v="Qtr1"/>
          <s v="Qtr2"/>
          <s v="Qtr3"/>
          <s v="Qtr4"/>
          <s v="&gt;19-04-2026"/>
        </groupItems>
      </fieldGroup>
    </cacheField>
    <cacheField name="Years (DEPARTURE DATE)" numFmtId="0" databaseField="0">
      <fieldGroup base="2">
        <rangePr groupBy="years" startDate="2025-01-01T00:00:00" endDate="2026-04-19T00:00:00"/>
        <groupItems count="4">
          <s v="&lt;01-01-2025"/>
          <s v="2025"/>
          <s v="2026"/>
          <s v="&gt;19-04-2026"/>
        </groupItems>
      </fieldGroup>
    </cacheField>
    <cacheField name="Months (RETURN DATE)" numFmtId="0" databaseField="0">
      <fieldGroup base="3">
        <rangePr groupBy="months" startDate="2025-01-10T00:00:00" endDate="2026-04-23T00:00:00"/>
        <groupItems count="14">
          <s v="&lt;10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4-2026"/>
        </groupItems>
      </fieldGroup>
    </cacheField>
    <cacheField name="Quarters (RETURN DATE)" numFmtId="0" databaseField="0">
      <fieldGroup base="3">
        <rangePr groupBy="quarters" startDate="2025-01-10T00:00:00" endDate="2026-04-23T00:00:00"/>
        <groupItems count="6">
          <s v="&lt;10-01-2025"/>
          <s v="Qtr1"/>
          <s v="Qtr2"/>
          <s v="Qtr3"/>
          <s v="Qtr4"/>
          <s v="&gt;23-04-2026"/>
        </groupItems>
      </fieldGroup>
    </cacheField>
    <cacheField name="Years (RETURN DATE)" numFmtId="0" databaseField="0">
      <fieldGroup base="3">
        <rangePr groupBy="years" startDate="2025-01-10T00:00:00" endDate="2026-04-23T00:00:00"/>
        <groupItems count="4">
          <s v="&lt;10-01-2025"/>
          <s v="2025"/>
          <s v="2026"/>
          <s v="&gt;23-04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  <x v="0"/>
    <n v="35000"/>
    <n v="600"/>
    <n v="10000"/>
    <n v="7000"/>
    <n v="8000"/>
    <n v="600"/>
    <n v="26200"/>
    <n v="8800"/>
  </r>
  <r>
    <x v="1"/>
    <x v="1"/>
    <x v="1"/>
    <x v="1"/>
    <n v="25000"/>
    <n v="400"/>
    <n v="10000"/>
    <n v="4000"/>
    <n v="6000"/>
    <n v="400"/>
    <n v="20800"/>
    <n v="4200"/>
  </r>
  <r>
    <x v="2"/>
    <x v="2"/>
    <x v="2"/>
    <x v="2"/>
    <n v="15000"/>
    <n v="300"/>
    <n v="5000"/>
    <n v="3000"/>
    <n v="4000"/>
    <n v="300"/>
    <n v="12600"/>
    <n v="2400"/>
  </r>
  <r>
    <x v="3"/>
    <x v="3"/>
    <x v="3"/>
    <x v="3"/>
    <n v="13000"/>
    <n v="250"/>
    <n v="4000"/>
    <n v="2000"/>
    <n v="3000"/>
    <n v="250"/>
    <n v="9500"/>
    <n v="3500"/>
  </r>
  <r>
    <x v="4"/>
    <x v="4"/>
    <x v="4"/>
    <x v="4"/>
    <n v="20000"/>
    <n v="400"/>
    <n v="10000"/>
    <n v="6000"/>
    <n v="2500"/>
    <n v="400"/>
    <n v="19300"/>
    <n v="700"/>
  </r>
  <r>
    <x v="5"/>
    <x v="5"/>
    <x v="5"/>
    <x v="5"/>
    <n v="15000"/>
    <n v="300"/>
    <n v="7000"/>
    <n v="2800"/>
    <n v="3650"/>
    <n v="300"/>
    <n v="14050"/>
    <n v="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DC28C-D9FE-47C7-BD77-D3C74F7DDF8F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I20" firstHeaderRow="0" firstDataRow="1" firstDataCol="1"/>
  <pivotFields count="18">
    <pivotField axis="axisRow" showAll="0">
      <items count="7">
        <item x="4"/>
        <item x="1"/>
        <item x="2"/>
        <item x="5"/>
        <item x="0"/>
        <item x="3"/>
        <item t="default"/>
      </items>
    </pivotField>
    <pivotField axis="axisRow" showAll="0">
      <items count="7">
        <item x="0"/>
        <item x="3"/>
        <item x="4"/>
        <item x="5"/>
        <item x="2"/>
        <item x="1"/>
        <item t="default"/>
      </items>
    </pivotField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10">
    <field x="0"/>
    <field x="1"/>
    <field x="14"/>
    <field x="13"/>
    <field x="12"/>
    <field x="2"/>
    <field x="17"/>
    <field x="16"/>
    <field x="15"/>
    <field x="3"/>
  </rowFields>
  <rowItems count="19">
    <i>
      <x/>
    </i>
    <i r="1">
      <x v="2"/>
    </i>
    <i r="2">
      <x v="1"/>
    </i>
    <i>
      <x v="1"/>
    </i>
    <i r="1">
      <x v="5"/>
    </i>
    <i r="2">
      <x v="1"/>
    </i>
    <i>
      <x v="2"/>
    </i>
    <i r="1">
      <x v="4"/>
    </i>
    <i r="2">
      <x v="1"/>
    </i>
    <i>
      <x v="3"/>
    </i>
    <i r="1">
      <x v="3"/>
    </i>
    <i r="2">
      <x v="2"/>
    </i>
    <i>
      <x v="4"/>
    </i>
    <i r="1">
      <x/>
    </i>
    <i r="2">
      <x v="1"/>
    </i>
    <i>
      <x v="5"/>
    </i>
    <i r="1">
      <x v="1"/>
    </i>
    <i r="2">
      <x v="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MY BUDGET" fld="4" baseField="0" baseItem="0" numFmtId="164"/>
    <dataField name="Sum of TRAIN COST" fld="5" baseField="0" baseItem="0" numFmtId="164"/>
    <dataField name="Sum of HOTEL COST" fld="6" baseField="0" baseItem="0" numFmtId="164"/>
    <dataField name="Sum of FOOD COST" fld="7" baseField="0" baseItem="0" numFmtId="164"/>
    <dataField name="Sum of SAVING" fld="11" baseField="0" baseItem="0" numFmtId="164"/>
    <dataField name="Sum of PURCHES" fld="8" baseField="0" baseItem="0" numFmtId="164"/>
    <dataField name="Sum of TRAIN RETURN COST" fld="9" baseField="0" baseItem="0" numFmtId="164"/>
    <dataField name="Sum of TOTAL BUDGET" fld="10" baseField="0" baseItem="0" numFmtId="16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27F77D-5CAD-4823-B4CD-C0906369C796}" name="Table1" displayName="Table1" ref="A2:L8" totalsRowShown="0" headerRowDxfId="10">
  <autoFilter ref="A2:L8" xr:uid="{7F085D5D-53DE-44E2-AA64-9ED44D5277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3993FB3C-4D7A-412B-9440-1B8F4B8CB73C}" name="DESTINATION"/>
    <tableColumn id="2" xr3:uid="{264438FD-1A43-40BE-B793-AA181D13086B}" name="HOTEL NAME"/>
    <tableColumn id="3" xr3:uid="{FC279FAB-4664-47EA-9C13-24AB67F2D485}" name="DEPARTURE DATE" dataDxfId="9"/>
    <tableColumn id="4" xr3:uid="{C8045650-0C00-4AAF-B7E6-96E7F4A4060F}" name="RETURN DATE" dataDxfId="8"/>
    <tableColumn id="5" xr3:uid="{54859D0C-119B-4F00-AA20-BA0461BEBE44}" name="MY BUDGET" dataDxfId="7"/>
    <tableColumn id="6" xr3:uid="{95A1F08D-3469-4342-B470-6719795766D2}" name="TRAIN COST" dataDxfId="6"/>
    <tableColumn id="7" xr3:uid="{FD159706-1792-468E-972B-53C45E0B93F7}" name="HOTEL COST" dataDxfId="5"/>
    <tableColumn id="8" xr3:uid="{6B89D3A8-90D4-4A99-BF21-3DEB99BA4C30}" name="FOOD COST" dataDxfId="4"/>
    <tableColumn id="9" xr3:uid="{6E3DA791-573C-48BC-9087-FF28019390B7}" name="PURCHES" dataDxfId="3"/>
    <tableColumn id="10" xr3:uid="{946F8BAC-DA06-4CC0-8D2A-36451AD456A3}" name="TRAIN RETURN COST" dataDxfId="2"/>
    <tableColumn id="11" xr3:uid="{4A08DE0B-E67B-400A-B599-E1692B4AFFB7}" name="TOTAL BUDGET" dataDxfId="1">
      <calculatedColumnFormula>F3+G3+H3+I3+J3</calculatedColumnFormula>
    </tableColumn>
    <tableColumn id="12" xr3:uid="{345A7718-F1A4-4E5D-8D4C-B488703C5EE3}" name="SAVING" dataDxfId="0">
      <calculatedColumnFormula>Table1[[#This Row],[MY BUDGET]]-Table1[[#This Row],[TOTAL BUDGET]]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7B0E-AD84-4D72-994A-4AA64BC393F5}">
  <dimension ref="A1:B18"/>
  <sheetViews>
    <sheetView workbookViewId="0">
      <selection activeCell="L18" sqref="L18"/>
    </sheetView>
  </sheetViews>
  <sheetFormatPr defaultRowHeight="15" x14ac:dyDescent="0.25"/>
  <cols>
    <col min="1" max="1" width="49.140625" bestFit="1" customWidth="1"/>
    <col min="2" max="2" width="12.140625" bestFit="1" customWidth="1"/>
  </cols>
  <sheetData>
    <row r="1" spans="1:2" ht="26.25" x14ac:dyDescent="0.4">
      <c r="A1" s="6" t="s">
        <v>25</v>
      </c>
    </row>
    <row r="3" spans="1:2" x14ac:dyDescent="0.25">
      <c r="A3" t="s">
        <v>27</v>
      </c>
      <c r="B3" s="4">
        <f>'TRAVEL BUDGET PLANNER'!K3+'TRAVEL BUDGET PLANNER'!K4+'TRAVEL BUDGET PLANNER'!K5+'TRAVEL BUDGET PLANNER'!K6+'TRAVEL BUDGET PLANNER'!K7+'TRAVEL BUDGET PLANNER'!K8</f>
        <v>102450</v>
      </c>
    </row>
    <row r="4" spans="1:2" x14ac:dyDescent="0.25">
      <c r="A4" t="s">
        <v>26</v>
      </c>
      <c r="B4" s="4">
        <f>'TRAVEL BUDGET PLANNER'!L3+'TRAVEL BUDGET PLANNER'!L4+'TRAVEL BUDGET PLANNER'!L5+'TRAVEL BUDGET PLANNER'!L6+'TRAVEL BUDGET PLANNER'!L7+'TRAVEL BUDGET PLANNER'!L8</f>
        <v>20550</v>
      </c>
    </row>
    <row r="12" spans="1:2" x14ac:dyDescent="0.25">
      <c r="A12" s="2"/>
    </row>
    <row r="13" spans="1:2" x14ac:dyDescent="0.25">
      <c r="A13" s="4"/>
    </row>
    <row r="14" spans="1:2" x14ac:dyDescent="0.25">
      <c r="A14" s="4"/>
    </row>
    <row r="15" spans="1:2" x14ac:dyDescent="0.25">
      <c r="A15" s="4"/>
    </row>
    <row r="16" spans="1:2" x14ac:dyDescent="0.25">
      <c r="A16" s="4"/>
    </row>
    <row r="17" spans="1:1" x14ac:dyDescent="0.25">
      <c r="A17" s="4"/>
    </row>
    <row r="18" spans="1:1" x14ac:dyDescent="0.25">
      <c r="A18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D6AB-CF97-440F-AE19-55C7CB2DE83B}">
  <dimension ref="A1:L8"/>
  <sheetViews>
    <sheetView tabSelected="1" workbookViewId="0">
      <selection activeCell="E10" sqref="E10"/>
    </sheetView>
  </sheetViews>
  <sheetFormatPr defaultRowHeight="15" x14ac:dyDescent="0.25"/>
  <cols>
    <col min="1" max="1" width="19.42578125" customWidth="1"/>
    <col min="2" max="2" width="20.5703125" customWidth="1"/>
    <col min="3" max="3" width="18.5703125" customWidth="1"/>
    <col min="4" max="4" width="20" customWidth="1"/>
    <col min="5" max="5" width="18.42578125" customWidth="1"/>
    <col min="6" max="6" width="16" customWidth="1"/>
    <col min="7" max="7" width="18.85546875" customWidth="1"/>
    <col min="8" max="8" width="19.28515625" customWidth="1"/>
    <col min="9" max="9" width="17.42578125" customWidth="1"/>
    <col min="10" max="10" width="20" bestFit="1" customWidth="1"/>
    <col min="11" max="11" width="22.7109375" customWidth="1"/>
    <col min="12" max="12" width="16.28515625" customWidth="1"/>
  </cols>
  <sheetData>
    <row r="1" spans="1:12" ht="28.5" x14ac:dyDescent="0.45">
      <c r="E1" s="5" t="s">
        <v>24</v>
      </c>
      <c r="G1" s="1"/>
    </row>
    <row r="2" spans="1:12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x14ac:dyDescent="0.25">
      <c r="A3" t="s">
        <v>12</v>
      </c>
      <c r="B3" t="s">
        <v>13</v>
      </c>
      <c r="C3" s="3">
        <v>45658</v>
      </c>
      <c r="D3" s="3">
        <v>45667</v>
      </c>
      <c r="E3" s="4">
        <v>35000</v>
      </c>
      <c r="F3" s="4">
        <v>600</v>
      </c>
      <c r="G3" s="4">
        <v>10000</v>
      </c>
      <c r="H3" s="4">
        <v>7000</v>
      </c>
      <c r="I3" s="4">
        <v>8000</v>
      </c>
      <c r="J3" s="4">
        <v>600</v>
      </c>
      <c r="K3" s="4">
        <f t="shared" ref="K3:K8" si="0">F3+G3+H3+I3+J3</f>
        <v>26200</v>
      </c>
      <c r="L3" s="4">
        <f>Table1[[#This Row],[MY BUDGET]]-Table1[[#This Row],[TOTAL BUDGET]]</f>
        <v>8800</v>
      </c>
    </row>
    <row r="4" spans="1:12" x14ac:dyDescent="0.25">
      <c r="A4" t="s">
        <v>14</v>
      </c>
      <c r="B4" t="s">
        <v>15</v>
      </c>
      <c r="C4" s="3">
        <v>45705</v>
      </c>
      <c r="D4" s="3">
        <v>45713</v>
      </c>
      <c r="E4" s="4">
        <v>25000</v>
      </c>
      <c r="F4" s="4">
        <v>400</v>
      </c>
      <c r="G4" s="4">
        <v>10000</v>
      </c>
      <c r="H4" s="4">
        <v>4000</v>
      </c>
      <c r="I4" s="4">
        <v>6000</v>
      </c>
      <c r="J4" s="4">
        <v>400</v>
      </c>
      <c r="K4" s="4">
        <f t="shared" si="0"/>
        <v>20800</v>
      </c>
      <c r="L4" s="4">
        <f>Table1[[#This Row],[MY BUDGET]]-Table1[[#This Row],[TOTAL BUDGET]]</f>
        <v>4200</v>
      </c>
    </row>
    <row r="5" spans="1:12" x14ac:dyDescent="0.25">
      <c r="A5" t="s">
        <v>16</v>
      </c>
      <c r="B5" t="s">
        <v>17</v>
      </c>
      <c r="C5" s="3">
        <v>45752</v>
      </c>
      <c r="D5" s="3">
        <v>45757</v>
      </c>
      <c r="E5" s="4">
        <v>15000</v>
      </c>
      <c r="F5" s="4">
        <v>300</v>
      </c>
      <c r="G5" s="4">
        <v>5000</v>
      </c>
      <c r="H5" s="4">
        <v>3000</v>
      </c>
      <c r="I5" s="4">
        <v>4000</v>
      </c>
      <c r="J5" s="4">
        <v>300</v>
      </c>
      <c r="K5" s="4">
        <f t="shared" si="0"/>
        <v>12600</v>
      </c>
      <c r="L5" s="4">
        <f>Table1[[#This Row],[MY BUDGET]]-Table1[[#This Row],[TOTAL BUDGET]]</f>
        <v>2400</v>
      </c>
    </row>
    <row r="6" spans="1:12" x14ac:dyDescent="0.25">
      <c r="A6" t="s">
        <v>18</v>
      </c>
      <c r="B6" t="s">
        <v>19</v>
      </c>
      <c r="C6" s="3">
        <v>45823</v>
      </c>
      <c r="D6" s="3">
        <v>45828</v>
      </c>
      <c r="E6" s="4">
        <v>13000</v>
      </c>
      <c r="F6" s="4">
        <v>250</v>
      </c>
      <c r="G6" s="4">
        <v>4000</v>
      </c>
      <c r="H6" s="4">
        <v>2000</v>
      </c>
      <c r="I6" s="4">
        <v>3000</v>
      </c>
      <c r="J6" s="4">
        <v>250</v>
      </c>
      <c r="K6" s="4">
        <f t="shared" si="0"/>
        <v>9500</v>
      </c>
      <c r="L6" s="4">
        <f>Table1[[#This Row],[MY BUDGET]]-Table1[[#This Row],[TOTAL BUDGET]]</f>
        <v>3500</v>
      </c>
    </row>
    <row r="7" spans="1:12" x14ac:dyDescent="0.25">
      <c r="A7" t="s">
        <v>20</v>
      </c>
      <c r="B7" t="s">
        <v>21</v>
      </c>
      <c r="C7" s="3">
        <v>45940</v>
      </c>
      <c r="D7" s="3">
        <v>45950</v>
      </c>
      <c r="E7" s="4">
        <v>20000</v>
      </c>
      <c r="F7" s="4">
        <v>400</v>
      </c>
      <c r="G7" s="4">
        <v>10000</v>
      </c>
      <c r="H7" s="4">
        <v>6000</v>
      </c>
      <c r="I7" s="4">
        <v>2500</v>
      </c>
      <c r="J7" s="4">
        <v>400</v>
      </c>
      <c r="K7" s="4">
        <f t="shared" si="0"/>
        <v>19300</v>
      </c>
      <c r="L7" s="4">
        <f>Table1[[#This Row],[MY BUDGET]]-Table1[[#This Row],[TOTAL BUDGET]]</f>
        <v>700</v>
      </c>
    </row>
    <row r="8" spans="1:12" x14ac:dyDescent="0.25">
      <c r="A8" t="s">
        <v>22</v>
      </c>
      <c r="B8" t="s">
        <v>23</v>
      </c>
      <c r="C8" s="3">
        <v>46130</v>
      </c>
      <c r="D8" s="3">
        <v>46134</v>
      </c>
      <c r="E8" s="4">
        <v>15000</v>
      </c>
      <c r="F8" s="4">
        <v>300</v>
      </c>
      <c r="G8" s="4">
        <v>7000</v>
      </c>
      <c r="H8" s="4">
        <v>2800</v>
      </c>
      <c r="I8" s="4">
        <v>3650</v>
      </c>
      <c r="J8" s="4">
        <v>300</v>
      </c>
      <c r="K8" s="4">
        <f t="shared" si="0"/>
        <v>14050</v>
      </c>
      <c r="L8" s="4">
        <f>Table1[[#This Row],[MY BUDGET]]-Table1[[#This Row],[TOTAL BUDGET]]</f>
        <v>950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1143-6145-4DC5-91A3-7C850055E8D7}">
  <dimension ref="A1:I20"/>
  <sheetViews>
    <sheetView workbookViewId="0"/>
  </sheetViews>
  <sheetFormatPr defaultRowHeight="15" x14ac:dyDescent="0.25"/>
  <cols>
    <col min="1" max="1" width="21.85546875" bestFit="1" customWidth="1"/>
    <col min="2" max="2" width="18.5703125" bestFit="1" customWidth="1"/>
    <col min="3" max="3" width="18.85546875" bestFit="1" customWidth="1"/>
    <col min="4" max="4" width="19.42578125" bestFit="1" customWidth="1"/>
    <col min="5" max="5" width="18.7109375" bestFit="1" customWidth="1"/>
    <col min="6" max="6" width="14.7109375" bestFit="1" customWidth="1"/>
    <col min="7" max="7" width="16.7109375" bestFit="1" customWidth="1"/>
    <col min="8" max="8" width="27" bestFit="1" customWidth="1"/>
    <col min="9" max="9" width="21.5703125" bestFit="1" customWidth="1"/>
  </cols>
  <sheetData>
    <row r="1" spans="1:9" x14ac:dyDescent="0.25">
      <c r="A1" s="7" t="s">
        <v>28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</row>
    <row r="2" spans="1:9" x14ac:dyDescent="0.25">
      <c r="A2" s="8" t="s">
        <v>20</v>
      </c>
      <c r="B2" s="4">
        <v>20000</v>
      </c>
      <c r="C2" s="4">
        <v>400</v>
      </c>
      <c r="D2" s="4">
        <v>10000</v>
      </c>
      <c r="E2" s="4">
        <v>6000</v>
      </c>
      <c r="F2" s="4">
        <v>700</v>
      </c>
      <c r="G2" s="4">
        <v>2500</v>
      </c>
      <c r="H2" s="4">
        <v>400</v>
      </c>
      <c r="I2" s="4">
        <v>19300</v>
      </c>
    </row>
    <row r="3" spans="1:9" x14ac:dyDescent="0.25">
      <c r="A3" s="9" t="s">
        <v>21</v>
      </c>
      <c r="B3" s="4">
        <v>20000</v>
      </c>
      <c r="C3" s="4">
        <v>400</v>
      </c>
      <c r="D3" s="4">
        <v>10000</v>
      </c>
      <c r="E3" s="4">
        <v>6000</v>
      </c>
      <c r="F3" s="4">
        <v>700</v>
      </c>
      <c r="G3" s="4">
        <v>2500</v>
      </c>
      <c r="H3" s="4">
        <v>400</v>
      </c>
      <c r="I3" s="4">
        <v>19300</v>
      </c>
    </row>
    <row r="4" spans="1:9" x14ac:dyDescent="0.25">
      <c r="A4" s="10" t="s">
        <v>30</v>
      </c>
      <c r="B4" s="4">
        <v>20000</v>
      </c>
      <c r="C4" s="4">
        <v>400</v>
      </c>
      <c r="D4" s="4">
        <v>10000</v>
      </c>
      <c r="E4" s="4">
        <v>6000</v>
      </c>
      <c r="F4" s="4">
        <v>700</v>
      </c>
      <c r="G4" s="4">
        <v>2500</v>
      </c>
      <c r="H4" s="4">
        <v>400</v>
      </c>
      <c r="I4" s="4">
        <v>19300</v>
      </c>
    </row>
    <row r="5" spans="1:9" x14ac:dyDescent="0.25">
      <c r="A5" s="8" t="s">
        <v>14</v>
      </c>
      <c r="B5" s="4">
        <v>25000</v>
      </c>
      <c r="C5" s="4">
        <v>400</v>
      </c>
      <c r="D5" s="4">
        <v>10000</v>
      </c>
      <c r="E5" s="4">
        <v>4000</v>
      </c>
      <c r="F5" s="4">
        <v>4200</v>
      </c>
      <c r="G5" s="4">
        <v>6000</v>
      </c>
      <c r="H5" s="4">
        <v>400</v>
      </c>
      <c r="I5" s="4">
        <v>20800</v>
      </c>
    </row>
    <row r="6" spans="1:9" x14ac:dyDescent="0.25">
      <c r="A6" s="9" t="s">
        <v>15</v>
      </c>
      <c r="B6" s="4">
        <v>25000</v>
      </c>
      <c r="C6" s="4">
        <v>400</v>
      </c>
      <c r="D6" s="4">
        <v>10000</v>
      </c>
      <c r="E6" s="4">
        <v>4000</v>
      </c>
      <c r="F6" s="4">
        <v>4200</v>
      </c>
      <c r="G6" s="4">
        <v>6000</v>
      </c>
      <c r="H6" s="4">
        <v>400</v>
      </c>
      <c r="I6" s="4">
        <v>20800</v>
      </c>
    </row>
    <row r="7" spans="1:9" x14ac:dyDescent="0.25">
      <c r="A7" s="10" t="s">
        <v>30</v>
      </c>
      <c r="B7" s="4">
        <v>25000</v>
      </c>
      <c r="C7" s="4">
        <v>400</v>
      </c>
      <c r="D7" s="4">
        <v>10000</v>
      </c>
      <c r="E7" s="4">
        <v>4000</v>
      </c>
      <c r="F7" s="4">
        <v>4200</v>
      </c>
      <c r="G7" s="4">
        <v>6000</v>
      </c>
      <c r="H7" s="4">
        <v>400</v>
      </c>
      <c r="I7" s="4">
        <v>20800</v>
      </c>
    </row>
    <row r="8" spans="1:9" x14ac:dyDescent="0.25">
      <c r="A8" s="8" t="s">
        <v>16</v>
      </c>
      <c r="B8" s="4">
        <v>15000</v>
      </c>
      <c r="C8" s="4">
        <v>300</v>
      </c>
      <c r="D8" s="4">
        <v>5000</v>
      </c>
      <c r="E8" s="4">
        <v>3000</v>
      </c>
      <c r="F8" s="4">
        <v>2400</v>
      </c>
      <c r="G8" s="4">
        <v>4000</v>
      </c>
      <c r="H8" s="4">
        <v>300</v>
      </c>
      <c r="I8" s="4">
        <v>12600</v>
      </c>
    </row>
    <row r="9" spans="1:9" x14ac:dyDescent="0.25">
      <c r="A9" s="9" t="s">
        <v>17</v>
      </c>
      <c r="B9" s="4">
        <v>15000</v>
      </c>
      <c r="C9" s="4">
        <v>300</v>
      </c>
      <c r="D9" s="4">
        <v>5000</v>
      </c>
      <c r="E9" s="4">
        <v>3000</v>
      </c>
      <c r="F9" s="4">
        <v>2400</v>
      </c>
      <c r="G9" s="4">
        <v>4000</v>
      </c>
      <c r="H9" s="4">
        <v>300</v>
      </c>
      <c r="I9" s="4">
        <v>12600</v>
      </c>
    </row>
    <row r="10" spans="1:9" x14ac:dyDescent="0.25">
      <c r="A10" s="10" t="s">
        <v>30</v>
      </c>
      <c r="B10" s="4">
        <v>15000</v>
      </c>
      <c r="C10" s="4">
        <v>300</v>
      </c>
      <c r="D10" s="4">
        <v>5000</v>
      </c>
      <c r="E10" s="4">
        <v>3000</v>
      </c>
      <c r="F10" s="4">
        <v>2400</v>
      </c>
      <c r="G10" s="4">
        <v>4000</v>
      </c>
      <c r="H10" s="4">
        <v>300</v>
      </c>
      <c r="I10" s="4">
        <v>12600</v>
      </c>
    </row>
    <row r="11" spans="1:9" x14ac:dyDescent="0.25">
      <c r="A11" s="8" t="s">
        <v>22</v>
      </c>
      <c r="B11" s="4">
        <v>15000</v>
      </c>
      <c r="C11" s="4">
        <v>300</v>
      </c>
      <c r="D11" s="4">
        <v>7000</v>
      </c>
      <c r="E11" s="4">
        <v>2800</v>
      </c>
      <c r="F11" s="4">
        <v>950</v>
      </c>
      <c r="G11" s="4">
        <v>3650</v>
      </c>
      <c r="H11" s="4">
        <v>300</v>
      </c>
      <c r="I11" s="4">
        <v>14050</v>
      </c>
    </row>
    <row r="12" spans="1:9" x14ac:dyDescent="0.25">
      <c r="A12" s="9" t="s">
        <v>23</v>
      </c>
      <c r="B12" s="4">
        <v>15000</v>
      </c>
      <c r="C12" s="4">
        <v>300</v>
      </c>
      <c r="D12" s="4">
        <v>7000</v>
      </c>
      <c r="E12" s="4">
        <v>2800</v>
      </c>
      <c r="F12" s="4">
        <v>950</v>
      </c>
      <c r="G12" s="4">
        <v>3650</v>
      </c>
      <c r="H12" s="4">
        <v>300</v>
      </c>
      <c r="I12" s="4">
        <v>14050</v>
      </c>
    </row>
    <row r="13" spans="1:9" x14ac:dyDescent="0.25">
      <c r="A13" s="10" t="s">
        <v>31</v>
      </c>
      <c r="B13" s="4">
        <v>15000</v>
      </c>
      <c r="C13" s="4">
        <v>300</v>
      </c>
      <c r="D13" s="4">
        <v>7000</v>
      </c>
      <c r="E13" s="4">
        <v>2800</v>
      </c>
      <c r="F13" s="4">
        <v>950</v>
      </c>
      <c r="G13" s="4">
        <v>3650</v>
      </c>
      <c r="H13" s="4">
        <v>300</v>
      </c>
      <c r="I13" s="4">
        <v>14050</v>
      </c>
    </row>
    <row r="14" spans="1:9" x14ac:dyDescent="0.25">
      <c r="A14" s="8" t="s">
        <v>12</v>
      </c>
      <c r="B14" s="4">
        <v>35000</v>
      </c>
      <c r="C14" s="4">
        <v>600</v>
      </c>
      <c r="D14" s="4">
        <v>10000</v>
      </c>
      <c r="E14" s="4">
        <v>7000</v>
      </c>
      <c r="F14" s="4">
        <v>8800</v>
      </c>
      <c r="G14" s="4">
        <v>8000</v>
      </c>
      <c r="H14" s="4">
        <v>600</v>
      </c>
      <c r="I14" s="4">
        <v>26200</v>
      </c>
    </row>
    <row r="15" spans="1:9" x14ac:dyDescent="0.25">
      <c r="A15" s="9" t="s">
        <v>13</v>
      </c>
      <c r="B15" s="4">
        <v>35000</v>
      </c>
      <c r="C15" s="4">
        <v>600</v>
      </c>
      <c r="D15" s="4">
        <v>10000</v>
      </c>
      <c r="E15" s="4">
        <v>7000</v>
      </c>
      <c r="F15" s="4">
        <v>8800</v>
      </c>
      <c r="G15" s="4">
        <v>8000</v>
      </c>
      <c r="H15" s="4">
        <v>600</v>
      </c>
      <c r="I15" s="4">
        <v>26200</v>
      </c>
    </row>
    <row r="16" spans="1:9" x14ac:dyDescent="0.25">
      <c r="A16" s="10" t="s">
        <v>30</v>
      </c>
      <c r="B16" s="4">
        <v>35000</v>
      </c>
      <c r="C16" s="4">
        <v>600</v>
      </c>
      <c r="D16" s="4">
        <v>10000</v>
      </c>
      <c r="E16" s="4">
        <v>7000</v>
      </c>
      <c r="F16" s="4">
        <v>8800</v>
      </c>
      <c r="G16" s="4">
        <v>8000</v>
      </c>
      <c r="H16" s="4">
        <v>600</v>
      </c>
      <c r="I16" s="4">
        <v>26200</v>
      </c>
    </row>
    <row r="17" spans="1:9" x14ac:dyDescent="0.25">
      <c r="A17" s="8" t="s">
        <v>18</v>
      </c>
      <c r="B17" s="4">
        <v>13000</v>
      </c>
      <c r="C17" s="4">
        <v>250</v>
      </c>
      <c r="D17" s="4">
        <v>4000</v>
      </c>
      <c r="E17" s="4">
        <v>2000</v>
      </c>
      <c r="F17" s="4">
        <v>3500</v>
      </c>
      <c r="G17" s="4">
        <v>3000</v>
      </c>
      <c r="H17" s="4">
        <v>250</v>
      </c>
      <c r="I17" s="4">
        <v>9500</v>
      </c>
    </row>
    <row r="18" spans="1:9" x14ac:dyDescent="0.25">
      <c r="A18" s="9" t="s">
        <v>19</v>
      </c>
      <c r="B18" s="4">
        <v>13000</v>
      </c>
      <c r="C18" s="4">
        <v>250</v>
      </c>
      <c r="D18" s="4">
        <v>4000</v>
      </c>
      <c r="E18" s="4">
        <v>2000</v>
      </c>
      <c r="F18" s="4">
        <v>3500</v>
      </c>
      <c r="G18" s="4">
        <v>3000</v>
      </c>
      <c r="H18" s="4">
        <v>250</v>
      </c>
      <c r="I18" s="4">
        <v>9500</v>
      </c>
    </row>
    <row r="19" spans="1:9" x14ac:dyDescent="0.25">
      <c r="A19" s="10" t="s">
        <v>30</v>
      </c>
      <c r="B19" s="4">
        <v>13000</v>
      </c>
      <c r="C19" s="4">
        <v>250</v>
      </c>
      <c r="D19" s="4">
        <v>4000</v>
      </c>
      <c r="E19" s="4">
        <v>2000</v>
      </c>
      <c r="F19" s="4">
        <v>3500</v>
      </c>
      <c r="G19" s="4">
        <v>3000</v>
      </c>
      <c r="H19" s="4">
        <v>250</v>
      </c>
      <c r="I19" s="4">
        <v>9500</v>
      </c>
    </row>
    <row r="20" spans="1:9" x14ac:dyDescent="0.25">
      <c r="A20" s="8" t="s">
        <v>29</v>
      </c>
      <c r="B20" s="4">
        <v>123000</v>
      </c>
      <c r="C20" s="4">
        <v>2250</v>
      </c>
      <c r="D20" s="4">
        <v>46000</v>
      </c>
      <c r="E20" s="4">
        <v>24800</v>
      </c>
      <c r="F20" s="4">
        <v>20550</v>
      </c>
      <c r="G20" s="4">
        <v>27150</v>
      </c>
      <c r="H20" s="4">
        <v>2250</v>
      </c>
      <c r="I20" s="4">
        <v>102450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DASHBOARD</vt:lpstr>
      <vt:lpstr>TRAVEL BUDGET PLANNER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MOHAMMED WAKEEL</dc:creator>
  <cp:lastModifiedBy>S MOHAMMED WAKEEL</cp:lastModifiedBy>
  <dcterms:created xsi:type="dcterms:W3CDTF">2026-06-10T06:49:56Z</dcterms:created>
  <dcterms:modified xsi:type="dcterms:W3CDTF">2026-06-10T07:38:33Z</dcterms:modified>
</cp:coreProperties>
</file>